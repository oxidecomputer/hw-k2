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hw-k2\"/>
    </mc:Choice>
  </mc:AlternateContent>
  <xr:revisionPtr revIDLastSave="0" documentId="13_ncr:1_{E823E90C-E1B7-4432-80EC-D95FF4293D7D}" xr6:coauthVersionLast="47" xr6:coauthVersionMax="47" xr10:uidLastSave="{00000000-0000-0000-0000-000000000000}"/>
  <bookViews>
    <workbookView xWindow="-105" yWindow="0" windowWidth="29010" windowHeight="31785" xr2:uid="{80DBAC24-F6F6-4201-9AF3-F62C14734A8F}"/>
  </bookViews>
  <sheets>
    <sheet name="Stackup" sheetId="23" r:id="rId1"/>
  </sheets>
  <definedNames>
    <definedName name="_xlnm._FilterDatabase">#REF!</definedName>
    <definedName name="FORMAT_VERSION">"V2.0"</definedName>
    <definedName name="zs_inbuilt_comment_bf6777fe86ea4150af2605a49fe86fe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3" l="1"/>
  <c r="H29" i="23" s="1"/>
  <c r="H35" i="23"/>
  <c r="M34" i="23"/>
  <c r="K35" i="23"/>
  <c r="J35" i="23"/>
  <c r="H34" i="23"/>
  <c r="H36" i="23" l="1"/>
  <c r="H37" i="23"/>
</calcChain>
</file>

<file path=xl/sharedStrings.xml><?xml version="1.0" encoding="utf-8"?>
<sst xmlns="http://schemas.openxmlformats.org/spreadsheetml/2006/main" count="99" uniqueCount="61">
  <si>
    <t>SOLDERMASK</t>
  </si>
  <si>
    <t/>
  </si>
  <si>
    <t>CONDUCTOR</t>
  </si>
  <si>
    <t>1 OZ COPPER</t>
  </si>
  <si>
    <t>L6</t>
  </si>
  <si>
    <t>L5</t>
  </si>
  <si>
    <t>L4</t>
  </si>
  <si>
    <t>L3</t>
  </si>
  <si>
    <t>L2</t>
  </si>
  <si>
    <t>L1</t>
  </si>
  <si>
    <t>Type</t>
  </si>
  <si>
    <t>Layer</t>
  </si>
  <si>
    <t>Thickness</t>
  </si>
  <si>
    <t>85 Ohm +/- 10%</t>
  </si>
  <si>
    <t>Date</t>
  </si>
  <si>
    <t>Layer Count</t>
    <phoneticPr fontId="2" type="noConversion"/>
  </si>
  <si>
    <t>Thickness (mils)</t>
    <phoneticPr fontId="2" type="noConversion"/>
  </si>
  <si>
    <t>Material</t>
  </si>
  <si>
    <t>Copper Foil</t>
  </si>
  <si>
    <t xml:space="preserve">Other demands </t>
  </si>
  <si>
    <t>Glass gabric (RC%)</t>
  </si>
  <si>
    <t xml:space="preserve"> weight (oz)</t>
  </si>
  <si>
    <t>Copper foil</t>
  </si>
  <si>
    <t>type, Rz(um)</t>
  </si>
  <si>
    <t xml:space="preserve">Revision </t>
  </si>
  <si>
    <t>Customer</t>
  </si>
  <si>
    <t>Board Title</t>
  </si>
  <si>
    <t>Dk @10GHz</t>
  </si>
  <si>
    <t>Ref
Plane</t>
  </si>
  <si>
    <t>Df @10GHz</t>
  </si>
  <si>
    <t>Design_Stackup</t>
  </si>
  <si>
    <t>mils</t>
  </si>
  <si>
    <t>Tolerance</t>
  </si>
  <si>
    <t>Core</t>
  </si>
  <si>
    <t>Prepreg</t>
  </si>
  <si>
    <t>1078x1 RC68%</t>
  </si>
  <si>
    <t>thickness (conductor+plate)</t>
  </si>
  <si>
    <t>thicknes + soldermask</t>
  </si>
  <si>
    <t>Actual LW</t>
  </si>
  <si>
    <t>Design LW</t>
  </si>
  <si>
    <t>Differential  ( trace / space )</t>
  </si>
  <si>
    <t>1078x2 RC73%</t>
  </si>
  <si>
    <t>K.2</t>
  </si>
  <si>
    <t>6L</t>
  </si>
  <si>
    <t>62mil  +/- 10%</t>
  </si>
  <si>
    <t>FR408HR</t>
  </si>
  <si>
    <t>N/A</t>
  </si>
  <si>
    <t>Standard</t>
  </si>
  <si>
    <t>V01</t>
  </si>
  <si>
    <t>1086x1 RC65%</t>
  </si>
  <si>
    <t>2116x1 RC54%</t>
  </si>
  <si>
    <t>1/4 OZ COPPER + PLATE</t>
  </si>
  <si>
    <t>106x1 RC75%
1080x1 RC71%
106x1 RC75%</t>
  </si>
  <si>
    <t>5.5 / 11.5</t>
  </si>
  <si>
    <t>L2 &amp; L6</t>
  </si>
  <si>
    <t>6.8 / 12.8</t>
  </si>
  <si>
    <t>Soldermask</t>
  </si>
  <si>
    <t>Black</t>
  </si>
  <si>
    <t>Oxide Computer Company</t>
  </si>
  <si>
    <t>Part Number</t>
  </si>
  <si>
    <t>913-0000114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</si>
</sst>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\-mmm\-yy;@"/>
    <numFmt numFmtId="166" formatCode="0.0"/>
    <numFmt numFmtId="167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333333"/>
      <name val="新細明體"/>
      <family val="2"/>
      <charset val="1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sz val="10"/>
      <name val="Microsoft YaHei"/>
      <family val="2"/>
      <charset val="136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C97"/>
        <bgColor indexed="64"/>
      </patternFill>
    </fill>
    <fill>
      <patternFill patternType="solid">
        <fgColor rgb="FFCDE9E6"/>
        <bgColor indexed="64"/>
      </patternFill>
    </fill>
    <fill>
      <patternFill patternType="solid">
        <fgColor rgb="FF007CC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165" fontId="6" fillId="0" borderId="0">
      <alignment vertical="center"/>
    </xf>
    <xf numFmtId="0" fontId="7" fillId="0" borderId="0">
      <alignment vertical="center"/>
    </xf>
    <xf numFmtId="0" fontId="9" fillId="0" borderId="0"/>
    <xf numFmtId="0" fontId="8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0" xfId="0" applyFont="1"/>
    <xf numFmtId="49" fontId="3" fillId="0" borderId="4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4" xfId="0" applyFont="1" applyBorder="1"/>
    <xf numFmtId="49" fontId="12" fillId="0" borderId="5" xfId="4" applyNumberFormat="1" applyFont="1" applyBorder="1" applyAlignment="1">
      <alignment horizontal="center"/>
    </xf>
    <xf numFmtId="0" fontId="10" fillId="0" borderId="0" xfId="2" applyFont="1" applyAlignment="1"/>
    <xf numFmtId="49" fontId="11" fillId="0" borderId="0" xfId="0" applyNumberFormat="1" applyFont="1" applyAlignment="1">
      <alignment horizontal="left"/>
    </xf>
    <xf numFmtId="0" fontId="5" fillId="0" borderId="0" xfId="0" applyFont="1"/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3" fillId="0" borderId="0" xfId="0" applyNumberFormat="1" applyFont="1" applyAlignment="1">
      <alignment horizontal="right"/>
    </xf>
    <xf numFmtId="49" fontId="12" fillId="0" borderId="9" xfId="4" applyNumberFormat="1" applyFont="1" applyBorder="1" applyAlignment="1">
      <alignment horizontal="center"/>
    </xf>
    <xf numFmtId="49" fontId="12" fillId="0" borderId="7" xfId="4" applyNumberFormat="1" applyFont="1" applyBorder="1" applyAlignment="1">
      <alignment horizontal="center"/>
    </xf>
    <xf numFmtId="49" fontId="12" fillId="0" borderId="2" xfId="4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12" fillId="0" borderId="7" xfId="4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2" fontId="20" fillId="3" borderId="7" xfId="0" applyNumberFormat="1" applyFont="1" applyFill="1" applyBorder="1" applyAlignment="1">
      <alignment horizontal="center"/>
    </xf>
    <xf numFmtId="49" fontId="18" fillId="3" borderId="7" xfId="0" applyNumberFormat="1" applyFont="1" applyFill="1" applyBorder="1" applyAlignment="1">
      <alignment horizontal="center"/>
    </xf>
    <xf numFmtId="164" fontId="18" fillId="3" borderId="7" xfId="0" applyNumberFormat="1" applyFont="1" applyFill="1" applyBorder="1" applyAlignment="1">
      <alignment horizontal="center"/>
    </xf>
    <xf numFmtId="2" fontId="12" fillId="3" borderId="7" xfId="4" applyNumberFormat="1" applyFont="1" applyFill="1" applyBorder="1" applyAlignment="1">
      <alignment horizontal="center"/>
    </xf>
    <xf numFmtId="166" fontId="12" fillId="3" borderId="7" xfId="4" applyNumberFormat="1" applyFont="1" applyFill="1" applyBorder="1" applyAlignment="1">
      <alignment horizontal="center"/>
    </xf>
    <xf numFmtId="164" fontId="12" fillId="3" borderId="7" xfId="4" applyNumberFormat="1" applyFont="1" applyFill="1" applyBorder="1" applyAlignment="1">
      <alignment horizontal="center"/>
    </xf>
    <xf numFmtId="49" fontId="17" fillId="4" borderId="9" xfId="0" applyNumberFormat="1" applyFont="1" applyFill="1" applyBorder="1" applyAlignment="1">
      <alignment horizontal="center"/>
    </xf>
    <xf numFmtId="49" fontId="19" fillId="4" borderId="9" xfId="0" applyNumberFormat="1" applyFont="1" applyFill="1" applyBorder="1" applyAlignment="1">
      <alignment horizontal="center"/>
    </xf>
    <xf numFmtId="49" fontId="17" fillId="4" borderId="2" xfId="0" applyNumberFormat="1" applyFont="1" applyFill="1" applyBorder="1" applyAlignment="1">
      <alignment horizontal="center"/>
    </xf>
    <xf numFmtId="2" fontId="19" fillId="4" borderId="2" xfId="0" applyNumberFormat="1" applyFont="1" applyFill="1" applyBorder="1" applyAlignment="1">
      <alignment horizontal="center"/>
    </xf>
    <xf numFmtId="9" fontId="20" fillId="5" borderId="7" xfId="5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/>
    </xf>
    <xf numFmtId="2" fontId="19" fillId="4" borderId="9" xfId="0" applyNumberFormat="1" applyFont="1" applyFill="1" applyBorder="1" applyAlignment="1">
      <alignment horizontal="center"/>
    </xf>
    <xf numFmtId="2" fontId="20" fillId="5" borderId="7" xfId="5" applyNumberFormat="1" applyFont="1" applyFill="1" applyBorder="1" applyAlignment="1">
      <alignment horizontal="center"/>
    </xf>
    <xf numFmtId="9" fontId="20" fillId="6" borderId="7" xfId="5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2" fontId="20" fillId="6" borderId="7" xfId="5" applyNumberFormat="1" applyFont="1" applyFill="1" applyBorder="1" applyAlignment="1">
      <alignment horizontal="center"/>
    </xf>
    <xf numFmtId="9" fontId="3" fillId="6" borderId="7" xfId="5" applyFont="1" applyFill="1" applyBorder="1" applyAlignment="1">
      <alignment horizontal="center"/>
    </xf>
    <xf numFmtId="2" fontId="20" fillId="6" borderId="7" xfId="0" applyNumberFormat="1" applyFont="1" applyFill="1" applyBorder="1" applyAlignment="1">
      <alignment horizontal="center"/>
    </xf>
    <xf numFmtId="164" fontId="20" fillId="3" borderId="7" xfId="0" applyNumberFormat="1" applyFont="1" applyFill="1" applyBorder="1" applyAlignment="1">
      <alignment horizontal="center"/>
    </xf>
    <xf numFmtId="164" fontId="20" fillId="5" borderId="7" xfId="5" applyNumberFormat="1" applyFont="1" applyFill="1" applyBorder="1" applyAlignment="1">
      <alignment horizontal="center"/>
    </xf>
    <xf numFmtId="164" fontId="19" fillId="4" borderId="2" xfId="0" applyNumberFormat="1" applyFont="1" applyFill="1" applyBorder="1" applyAlignment="1">
      <alignment horizontal="center"/>
    </xf>
    <xf numFmtId="164" fontId="19" fillId="4" borderId="9" xfId="0" applyNumberFormat="1" applyFont="1" applyFill="1" applyBorder="1" applyAlignment="1">
      <alignment horizontal="center"/>
    </xf>
    <xf numFmtId="164" fontId="20" fillId="6" borderId="7" xfId="5" applyNumberFormat="1" applyFont="1" applyFill="1" applyBorder="1" applyAlignment="1">
      <alignment horizontal="center"/>
    </xf>
    <xf numFmtId="167" fontId="19" fillId="4" borderId="9" xfId="0" applyNumberFormat="1" applyFont="1" applyFill="1" applyBorder="1" applyAlignment="1">
      <alignment horizontal="center"/>
    </xf>
    <xf numFmtId="167" fontId="20" fillId="3" borderId="7" xfId="0" applyNumberFormat="1" applyFont="1" applyFill="1" applyBorder="1" applyAlignment="1">
      <alignment horizontal="center"/>
    </xf>
    <xf numFmtId="167" fontId="20" fillId="5" borderId="7" xfId="5" applyNumberFormat="1" applyFont="1" applyFill="1" applyBorder="1" applyAlignment="1">
      <alignment horizontal="center"/>
    </xf>
    <xf numFmtId="167" fontId="20" fillId="6" borderId="7" xfId="5" applyNumberFormat="1" applyFont="1" applyFill="1" applyBorder="1" applyAlignment="1">
      <alignment horizontal="center"/>
    </xf>
    <xf numFmtId="167" fontId="19" fillId="4" borderId="2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 wrapText="1"/>
    </xf>
    <xf numFmtId="49" fontId="12" fillId="0" borderId="0" xfId="0" applyNumberFormat="1" applyFont="1" applyAlignment="1">
      <alignment horizontal="left"/>
    </xf>
    <xf numFmtId="49" fontId="4" fillId="0" borderId="15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14" fontId="14" fillId="0" borderId="4" xfId="0" applyNumberFormat="1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 wrapText="1"/>
    </xf>
    <xf numFmtId="0" fontId="16" fillId="2" borderId="0" xfId="2" applyFont="1" applyFill="1" applyAlignment="1">
      <alignment horizontal="left"/>
    </xf>
  </cellXfs>
  <cellStyles count="6">
    <cellStyle name="Normal" xfId="0" builtinId="0"/>
    <cellStyle name="Normal 2" xfId="2" xr:uid="{3863797C-888D-4BB5-8573-D5482F310CE4}"/>
    <cellStyle name="Normal 3" xfId="4" xr:uid="{033DE444-6F91-4759-8D18-218725E8A5F9}"/>
    <cellStyle name="Percent" xfId="5" builtinId="5"/>
    <cellStyle name="TableStyleLight1" xfId="1" xr:uid="{BF57EA76-5244-4734-95B5-4721BFB8BA99}"/>
    <cellStyle name="一般 3" xfId="3" xr:uid="{46E8F9A6-6874-4C26-92D4-E8173386E218}"/>
  </cellStyles>
  <dxfs count="0"/>
  <tableStyles count="0" defaultTableStyle="TableStyleMedium2" defaultPivotStyle="PivotStyleLight16"/>
  <colors>
    <mruColors>
      <color rgb="FFCBD7DD"/>
      <color rgb="FF007CC1"/>
      <color rgb="FF007CA5"/>
      <color rgb="FF007C97"/>
      <color rgb="FFCDE9E6"/>
      <color rgb="FFFF0000"/>
      <color rgb="FFFFC6CD"/>
      <color rgb="FFBAE0DC"/>
      <color rgb="FFD5F7FF"/>
      <color rgb="FF00A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95A-56A9-4BD7-A1AE-90914856EE85}">
  <dimension ref="B2:N44"/>
  <sheetViews>
    <sheetView showGridLines="0" tabSelected="1" topLeftCell="C15" zoomScale="145" zoomScaleNormal="145" workbookViewId="0">
      <selection activeCell="C40" sqref="C40:L40"/>
    </sheetView>
  </sheetViews>
  <sheetFormatPr defaultColWidth="8.85546875" defaultRowHeight="15"/>
  <cols>
    <col min="1" max="1" width="2.5703125" style="5" customWidth="1"/>
    <col min="2" max="2" width="8.85546875" style="5" customWidth="1"/>
    <col min="3" max="3" width="20.140625" style="5" customWidth="1"/>
    <col min="4" max="4" width="13.85546875" style="5" customWidth="1"/>
    <col min="5" max="5" width="15.140625" style="5" bestFit="1" customWidth="1"/>
    <col min="6" max="6" width="20.140625" style="5" customWidth="1"/>
    <col min="7" max="7" width="15.85546875" style="5" bestFit="1" customWidth="1"/>
    <col min="8" max="9" width="14.42578125" style="5" customWidth="1"/>
    <col min="10" max="10" width="10.140625" style="5" bestFit="1" customWidth="1"/>
    <col min="11" max="11" width="10.42578125" style="5" customWidth="1"/>
    <col min="12" max="12" width="10.5703125" style="5" customWidth="1"/>
    <col min="13" max="13" width="21.140625" style="5" bestFit="1" customWidth="1"/>
    <col min="14" max="14" width="18.42578125" style="5" customWidth="1"/>
    <col min="15" max="16384" width="8.85546875" style="5"/>
  </cols>
  <sheetData>
    <row r="2" spans="2:12" ht="28.5" customHeight="1">
      <c r="B2" s="72" t="s">
        <v>30</v>
      </c>
      <c r="C2" s="72"/>
      <c r="D2" s="72"/>
      <c r="E2" s="72"/>
      <c r="F2" s="72"/>
      <c r="G2" s="10"/>
      <c r="H2" s="10"/>
      <c r="I2" s="10"/>
      <c r="J2" s="10"/>
      <c r="K2" s="10"/>
      <c r="L2" s="10"/>
    </row>
    <row r="3" spans="2:12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>
      <c r="B4" s="68" t="s">
        <v>25</v>
      </c>
      <c r="C4" s="68"/>
      <c r="D4" s="70" t="s">
        <v>58</v>
      </c>
      <c r="E4" s="70"/>
      <c r="F4" s="70"/>
      <c r="J4" s="12"/>
      <c r="K4" s="12"/>
    </row>
    <row r="5" spans="2:12">
      <c r="B5" s="68" t="s">
        <v>26</v>
      </c>
      <c r="C5" s="68"/>
      <c r="D5" s="70" t="s">
        <v>42</v>
      </c>
      <c r="E5" s="70"/>
      <c r="F5" s="70"/>
      <c r="J5" s="12"/>
      <c r="K5" s="12"/>
    </row>
    <row r="6" spans="2:12">
      <c r="B6" s="68" t="s">
        <v>59</v>
      </c>
      <c r="C6" s="68"/>
      <c r="D6" s="70" t="s">
        <v>60</v>
      </c>
      <c r="E6" s="70"/>
      <c r="F6" s="70"/>
      <c r="J6" s="12"/>
      <c r="K6" s="12"/>
    </row>
    <row r="7" spans="2:12">
      <c r="B7" s="68" t="s">
        <v>15</v>
      </c>
      <c r="C7" s="68"/>
      <c r="D7" s="70" t="s">
        <v>43</v>
      </c>
      <c r="E7" s="70"/>
      <c r="F7" s="70"/>
      <c r="J7" s="12"/>
      <c r="K7" s="12"/>
    </row>
    <row r="8" spans="2:12">
      <c r="B8" s="68" t="s">
        <v>16</v>
      </c>
      <c r="C8" s="68"/>
      <c r="D8" s="70" t="s">
        <v>44</v>
      </c>
      <c r="E8" s="70"/>
      <c r="F8" s="70"/>
      <c r="J8" s="12"/>
      <c r="K8" s="12"/>
    </row>
    <row r="9" spans="2:12">
      <c r="B9" s="68" t="s">
        <v>17</v>
      </c>
      <c r="C9" s="68"/>
      <c r="D9" s="70" t="s">
        <v>45</v>
      </c>
      <c r="E9" s="70"/>
      <c r="F9" s="70"/>
      <c r="J9" s="12"/>
      <c r="K9" s="12"/>
    </row>
    <row r="10" spans="2:12">
      <c r="B10" s="68" t="s">
        <v>18</v>
      </c>
      <c r="C10" s="68"/>
      <c r="D10" s="70" t="s">
        <v>47</v>
      </c>
      <c r="E10" s="70"/>
      <c r="F10" s="70"/>
      <c r="J10" s="12"/>
      <c r="K10" s="12"/>
    </row>
    <row r="11" spans="2:12">
      <c r="B11" s="68" t="s">
        <v>56</v>
      </c>
      <c r="C11" s="68"/>
      <c r="D11" s="70" t="s">
        <v>57</v>
      </c>
      <c r="E11" s="70"/>
      <c r="F11" s="70"/>
      <c r="J11" s="12"/>
      <c r="K11" s="12"/>
    </row>
    <row r="12" spans="2:12" ht="26.25" customHeight="1">
      <c r="B12" s="68" t="s">
        <v>19</v>
      </c>
      <c r="C12" s="68"/>
      <c r="D12" s="71" t="s">
        <v>46</v>
      </c>
      <c r="E12" s="70"/>
      <c r="F12" s="70"/>
      <c r="J12" s="12"/>
      <c r="K12" s="12"/>
    </row>
    <row r="13" spans="2:12">
      <c r="B13" s="68" t="s">
        <v>14</v>
      </c>
      <c r="C13" s="68"/>
      <c r="D13" s="69">
        <v>46091</v>
      </c>
      <c r="E13" s="70"/>
      <c r="F13" s="70"/>
      <c r="J13" s="12"/>
      <c r="K13" s="12"/>
    </row>
    <row r="14" spans="2:12">
      <c r="B14" s="68" t="s">
        <v>24</v>
      </c>
      <c r="C14" s="68"/>
      <c r="D14" s="70" t="s">
        <v>48</v>
      </c>
      <c r="E14" s="70"/>
      <c r="F14" s="70"/>
      <c r="J14" s="12"/>
      <c r="K14" s="12"/>
    </row>
    <row r="15" spans="2:12">
      <c r="B15" s="13"/>
      <c r="F15" s="14"/>
      <c r="G15" s="14"/>
      <c r="H15" s="14"/>
      <c r="I15" s="14"/>
    </row>
    <row r="16" spans="2:12" ht="14.45" customHeight="1"/>
    <row r="17" spans="2:14">
      <c r="B17" s="63" t="s">
        <v>11</v>
      </c>
      <c r="C17" s="63" t="s">
        <v>10</v>
      </c>
      <c r="D17" s="63" t="s">
        <v>17</v>
      </c>
      <c r="E17" s="63" t="s">
        <v>20</v>
      </c>
      <c r="F17" s="63" t="s">
        <v>22</v>
      </c>
      <c r="G17" s="63"/>
      <c r="H17" s="57" t="s">
        <v>12</v>
      </c>
      <c r="I17" s="58"/>
      <c r="J17" s="63" t="s">
        <v>27</v>
      </c>
      <c r="K17" s="63" t="s">
        <v>29</v>
      </c>
      <c r="L17" s="64" t="s">
        <v>28</v>
      </c>
      <c r="M17" s="55" t="s">
        <v>40</v>
      </c>
      <c r="N17" s="56"/>
    </row>
    <row r="18" spans="2:14">
      <c r="B18" s="63"/>
      <c r="C18" s="63"/>
      <c r="D18" s="63"/>
      <c r="E18" s="63"/>
      <c r="F18" s="63"/>
      <c r="G18" s="63"/>
      <c r="H18" s="59"/>
      <c r="I18" s="60"/>
      <c r="J18" s="63"/>
      <c r="K18" s="63"/>
      <c r="L18" s="63"/>
      <c r="M18" s="67" t="s">
        <v>13</v>
      </c>
      <c r="N18" s="67"/>
    </row>
    <row r="19" spans="2:14">
      <c r="B19" s="63"/>
      <c r="C19" s="63"/>
      <c r="D19" s="63"/>
      <c r="E19" s="63"/>
      <c r="F19" s="63"/>
      <c r="G19" s="63"/>
      <c r="H19" s="61"/>
      <c r="I19" s="62"/>
      <c r="J19" s="63"/>
      <c r="K19" s="63"/>
      <c r="L19" s="63"/>
      <c r="M19" s="6" t="s">
        <v>39</v>
      </c>
      <c r="N19" s="6" t="s">
        <v>38</v>
      </c>
    </row>
    <row r="20" spans="2:14">
      <c r="B20" s="63"/>
      <c r="C20" s="63"/>
      <c r="D20" s="63"/>
      <c r="E20" s="63"/>
      <c r="F20" s="6" t="s">
        <v>21</v>
      </c>
      <c r="G20" s="6" t="s">
        <v>23</v>
      </c>
      <c r="H20" s="6" t="s">
        <v>31</v>
      </c>
      <c r="I20" s="6" t="s">
        <v>32</v>
      </c>
      <c r="J20" s="63"/>
      <c r="K20" s="63"/>
      <c r="L20" s="63"/>
      <c r="M20" s="6" t="s">
        <v>31</v>
      </c>
      <c r="N20" s="6" t="s">
        <v>31</v>
      </c>
    </row>
    <row r="21" spans="2:14">
      <c r="B21" s="29" t="s">
        <v>1</v>
      </c>
      <c r="C21" s="29" t="s">
        <v>0</v>
      </c>
      <c r="D21" s="30" t="s">
        <v>0</v>
      </c>
      <c r="E21" s="30"/>
      <c r="F21" s="30"/>
      <c r="G21" s="30"/>
      <c r="H21" s="48">
        <v>0.5</v>
      </c>
      <c r="I21" s="30"/>
      <c r="J21" s="36">
        <v>3.5</v>
      </c>
      <c r="K21" s="46">
        <v>1.9E-2</v>
      </c>
      <c r="L21" s="30"/>
      <c r="M21" s="16"/>
      <c r="N21" s="16"/>
    </row>
    <row r="22" spans="2:14">
      <c r="B22" s="24" t="s">
        <v>9</v>
      </c>
      <c r="C22" s="25" t="s">
        <v>2</v>
      </c>
      <c r="D22" s="23"/>
      <c r="E22" s="23"/>
      <c r="F22" s="23" t="s">
        <v>51</v>
      </c>
      <c r="G22" s="23"/>
      <c r="H22" s="49">
        <v>1.45</v>
      </c>
      <c r="I22" s="23"/>
      <c r="J22" s="23"/>
      <c r="K22" s="43"/>
      <c r="L22" s="23" t="s">
        <v>8</v>
      </c>
      <c r="M22" s="28" t="s">
        <v>53</v>
      </c>
      <c r="N22" s="27"/>
    </row>
    <row r="23" spans="2:14">
      <c r="B23" s="33" t="s">
        <v>1</v>
      </c>
      <c r="C23" s="33" t="s">
        <v>34</v>
      </c>
      <c r="D23" s="33" t="s">
        <v>45</v>
      </c>
      <c r="E23" s="33" t="s">
        <v>49</v>
      </c>
      <c r="F23" s="33"/>
      <c r="G23" s="33"/>
      <c r="H23" s="50">
        <v>2.996</v>
      </c>
      <c r="I23" s="33"/>
      <c r="J23" s="37">
        <v>3.26</v>
      </c>
      <c r="K23" s="44">
        <v>2.8E-3</v>
      </c>
      <c r="L23" s="33"/>
      <c r="M23" s="17"/>
      <c r="N23" s="17"/>
    </row>
    <row r="24" spans="2:14">
      <c r="B24" s="24" t="s">
        <v>8</v>
      </c>
      <c r="C24" s="25" t="s">
        <v>2</v>
      </c>
      <c r="D24" s="23"/>
      <c r="E24" s="23"/>
      <c r="F24" s="23" t="s">
        <v>3</v>
      </c>
      <c r="G24" s="23"/>
      <c r="H24" s="49">
        <v>1.4</v>
      </c>
      <c r="I24" s="23"/>
      <c r="J24" s="23"/>
      <c r="K24" s="43"/>
      <c r="L24" s="43"/>
      <c r="M24" s="17"/>
      <c r="N24" s="17"/>
    </row>
    <row r="25" spans="2:14">
      <c r="B25" s="38" t="s">
        <v>1</v>
      </c>
      <c r="C25" s="39" t="s">
        <v>33</v>
      </c>
      <c r="D25" s="38" t="s">
        <v>45</v>
      </c>
      <c r="E25" s="38" t="s">
        <v>50</v>
      </c>
      <c r="F25" s="38"/>
      <c r="G25" s="38"/>
      <c r="H25" s="51">
        <v>5</v>
      </c>
      <c r="I25" s="38"/>
      <c r="J25" s="40">
        <v>3.23</v>
      </c>
      <c r="K25" s="47">
        <v>4.1999999999999997E-3</v>
      </c>
      <c r="L25" s="38"/>
      <c r="M25" s="17"/>
      <c r="N25" s="17"/>
    </row>
    <row r="26" spans="2:14">
      <c r="B26" s="24" t="s">
        <v>7</v>
      </c>
      <c r="C26" s="25" t="s">
        <v>2</v>
      </c>
      <c r="D26" s="23"/>
      <c r="E26" s="23"/>
      <c r="F26" s="23" t="s">
        <v>3</v>
      </c>
      <c r="G26" s="23"/>
      <c r="H26" s="49">
        <v>1.4</v>
      </c>
      <c r="I26" s="23"/>
      <c r="J26" s="23"/>
      <c r="K26" s="43"/>
      <c r="L26" s="23" t="s">
        <v>54</v>
      </c>
      <c r="M26" s="28" t="s">
        <v>55</v>
      </c>
      <c r="N26" s="27"/>
    </row>
    <row r="27" spans="2:14" ht="39">
      <c r="B27" s="34" t="s">
        <v>1</v>
      </c>
      <c r="C27" s="34" t="s">
        <v>34</v>
      </c>
      <c r="D27" s="35" t="s">
        <v>45</v>
      </c>
      <c r="E27" s="53" t="s">
        <v>52</v>
      </c>
      <c r="F27" s="35"/>
      <c r="G27" s="35"/>
      <c r="H27" s="50">
        <f>(36.072-H28)/2</f>
        <v>7.5360000000000014</v>
      </c>
      <c r="I27" s="35"/>
      <c r="J27" s="37"/>
      <c r="K27" s="44"/>
      <c r="L27" s="35"/>
      <c r="M27" s="21"/>
      <c r="N27" s="21"/>
    </row>
    <row r="28" spans="2:14">
      <c r="B28" s="38" t="s">
        <v>1</v>
      </c>
      <c r="C28" s="39" t="s">
        <v>33</v>
      </c>
      <c r="D28" s="38" t="s">
        <v>45</v>
      </c>
      <c r="E28" s="38">
        <v>0.5</v>
      </c>
      <c r="F28" s="38"/>
      <c r="G28" s="38"/>
      <c r="H28" s="51">
        <v>21</v>
      </c>
      <c r="I28" s="38"/>
      <c r="J28" s="40">
        <v>3.53</v>
      </c>
      <c r="K28" s="47">
        <v>9.7999999999999997E-3</v>
      </c>
      <c r="L28" s="38"/>
      <c r="M28" s="28"/>
      <c r="N28" s="27"/>
    </row>
    <row r="29" spans="2:14" ht="39">
      <c r="B29" s="34" t="s">
        <v>1</v>
      </c>
      <c r="C29" s="34" t="s">
        <v>34</v>
      </c>
      <c r="D29" s="35" t="s">
        <v>45</v>
      </c>
      <c r="E29" s="53" t="s">
        <v>52</v>
      </c>
      <c r="F29" s="35"/>
      <c r="G29" s="35"/>
      <c r="H29" s="50">
        <f>H27</f>
        <v>7.5360000000000014</v>
      </c>
      <c r="I29" s="35"/>
      <c r="J29" s="37"/>
      <c r="K29" s="44"/>
      <c r="L29" s="35"/>
      <c r="M29" s="17"/>
      <c r="N29" s="17"/>
    </row>
    <row r="30" spans="2:14">
      <c r="B30" s="24" t="s">
        <v>6</v>
      </c>
      <c r="C30" s="25" t="s">
        <v>2</v>
      </c>
      <c r="D30" s="23"/>
      <c r="E30" s="23"/>
      <c r="F30" s="23" t="s">
        <v>3</v>
      </c>
      <c r="G30" s="23"/>
      <c r="H30" s="49">
        <v>1.4</v>
      </c>
      <c r="I30" s="23"/>
      <c r="J30" s="23"/>
      <c r="K30" s="43"/>
      <c r="L30" s="43"/>
      <c r="M30" s="17"/>
      <c r="N30" s="17"/>
    </row>
    <row r="31" spans="2:14">
      <c r="B31" s="41" t="s">
        <v>1</v>
      </c>
      <c r="C31" s="39" t="s">
        <v>33</v>
      </c>
      <c r="D31" s="42" t="s">
        <v>45</v>
      </c>
      <c r="E31" s="38" t="s">
        <v>35</v>
      </c>
      <c r="F31" s="42"/>
      <c r="G31" s="42"/>
      <c r="H31" s="51">
        <v>5</v>
      </c>
      <c r="I31" s="42"/>
      <c r="J31" s="40">
        <v>3.23</v>
      </c>
      <c r="K31" s="47">
        <v>4.1999999999999997E-3</v>
      </c>
      <c r="L31" s="42"/>
      <c r="M31" s="17"/>
      <c r="N31" s="17"/>
    </row>
    <row r="32" spans="2:14">
      <c r="B32" s="24" t="s">
        <v>5</v>
      </c>
      <c r="C32" s="25" t="s">
        <v>2</v>
      </c>
      <c r="D32" s="23"/>
      <c r="E32" s="23"/>
      <c r="F32" s="23" t="s">
        <v>3</v>
      </c>
      <c r="G32" s="23"/>
      <c r="H32" s="49">
        <v>1.4</v>
      </c>
      <c r="I32" s="23"/>
      <c r="J32" s="23"/>
      <c r="K32" s="43"/>
      <c r="L32" s="23"/>
      <c r="M32" s="28"/>
      <c r="N32" s="27"/>
    </row>
    <row r="33" spans="2:14">
      <c r="B33" s="33" t="s">
        <v>1</v>
      </c>
      <c r="C33" s="34" t="s">
        <v>34</v>
      </c>
      <c r="D33" s="33" t="s">
        <v>45</v>
      </c>
      <c r="E33" s="33" t="s">
        <v>41</v>
      </c>
      <c r="F33" s="33"/>
      <c r="G33" s="33"/>
      <c r="H33" s="50">
        <v>2.996</v>
      </c>
      <c r="I33" s="33"/>
      <c r="J33" s="37">
        <v>3.17</v>
      </c>
      <c r="K33" s="44">
        <v>4.1999999999999997E-3</v>
      </c>
      <c r="L33" s="33"/>
      <c r="M33" s="17"/>
      <c r="N33" s="17"/>
    </row>
    <row r="34" spans="2:14">
      <c r="B34" s="24" t="s">
        <v>4</v>
      </c>
      <c r="C34" s="24" t="s">
        <v>2</v>
      </c>
      <c r="D34" s="23"/>
      <c r="E34" s="23"/>
      <c r="F34" s="23" t="s">
        <v>51</v>
      </c>
      <c r="G34" s="23"/>
      <c r="H34" s="49">
        <f>H22</f>
        <v>1.45</v>
      </c>
      <c r="I34" s="23"/>
      <c r="J34" s="23"/>
      <c r="K34" s="43"/>
      <c r="L34" s="23" t="s">
        <v>5</v>
      </c>
      <c r="M34" s="26" t="str">
        <f>IF(ISBLANK(M22), "", M22)</f>
        <v>5.5 / 11.5</v>
      </c>
      <c r="N34" s="27"/>
    </row>
    <row r="35" spans="2:14">
      <c r="B35" s="31" t="s">
        <v>1</v>
      </c>
      <c r="C35" s="31" t="s">
        <v>0</v>
      </c>
      <c r="D35" s="32" t="s">
        <v>0</v>
      </c>
      <c r="E35" s="32"/>
      <c r="F35" s="32"/>
      <c r="G35" s="32"/>
      <c r="H35" s="52">
        <f>H21</f>
        <v>0.5</v>
      </c>
      <c r="I35" s="32"/>
      <c r="J35" s="32">
        <f>J21</f>
        <v>3.5</v>
      </c>
      <c r="K35" s="45">
        <f>K21</f>
        <v>1.9E-2</v>
      </c>
      <c r="L35" s="32"/>
      <c r="M35" s="9"/>
      <c r="N35" s="18"/>
    </row>
    <row r="36" spans="2:14">
      <c r="B36" s="65" t="s">
        <v>36</v>
      </c>
      <c r="C36" s="65"/>
      <c r="D36" s="65"/>
      <c r="E36" s="65"/>
      <c r="F36" s="65"/>
      <c r="G36" s="66"/>
      <c r="H36" s="3">
        <f>SUM(H22:H34)</f>
        <v>60.564000000000007</v>
      </c>
      <c r="I36" s="19"/>
      <c r="J36" s="19"/>
      <c r="K36" s="19"/>
      <c r="L36" s="19"/>
      <c r="M36" s="2"/>
      <c r="N36" s="7"/>
    </row>
    <row r="37" spans="2:14">
      <c r="B37" s="65" t="s">
        <v>37</v>
      </c>
      <c r="C37" s="65"/>
      <c r="D37" s="65"/>
      <c r="E37" s="65"/>
      <c r="F37" s="65"/>
      <c r="G37" s="66"/>
      <c r="H37" s="3">
        <f>SUM(H21:H35)</f>
        <v>61.564000000000007</v>
      </c>
      <c r="I37" s="4"/>
      <c r="J37" s="4"/>
      <c r="K37" s="4"/>
      <c r="L37" s="4"/>
      <c r="M37" s="1"/>
      <c r="N37" s="8"/>
    </row>
    <row r="38" spans="2:14">
      <c r="H38" s="20"/>
      <c r="I38" s="20"/>
    </row>
    <row r="39" spans="2:14">
      <c r="B39"/>
      <c r="C39" s="22"/>
      <c r="D39" s="22"/>
      <c r="E39" s="22"/>
    </row>
    <row r="40" spans="2:14">
      <c r="B40" s="15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spans="2:14">
      <c r="B41" s="15"/>
      <c r="C41" s="54"/>
      <c r="D41" s="54"/>
      <c r="E41" s="54"/>
      <c r="F41" s="54"/>
      <c r="G41" s="54"/>
      <c r="H41" s="54"/>
      <c r="I41" s="54"/>
      <c r="J41" s="54"/>
      <c r="K41" s="54"/>
      <c r="L41" s="54"/>
    </row>
    <row r="42" spans="2:14">
      <c r="B42" s="15"/>
      <c r="C42" s="54"/>
      <c r="D42" s="54"/>
      <c r="E42" s="54"/>
      <c r="F42" s="54"/>
      <c r="G42" s="54"/>
      <c r="H42" s="54"/>
      <c r="I42" s="54"/>
      <c r="J42" s="54"/>
      <c r="K42" s="54"/>
      <c r="L42" s="54"/>
    </row>
    <row r="43" spans="2:14">
      <c r="B43" s="15"/>
    </row>
    <row r="44" spans="2:14">
      <c r="C44"/>
      <c r="D44"/>
      <c r="E44"/>
    </row>
  </sheetData>
  <mergeCells count="39">
    <mergeCell ref="B6:C6"/>
    <mergeCell ref="D6:F6"/>
    <mergeCell ref="B2:F2"/>
    <mergeCell ref="B4:C4"/>
    <mergeCell ref="D4:F4"/>
    <mergeCell ref="B5:C5"/>
    <mergeCell ref="D5:F5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7:B20"/>
    <mergeCell ref="C17:C20"/>
    <mergeCell ref="D17:D20"/>
    <mergeCell ref="E17:E20"/>
    <mergeCell ref="F17:G19"/>
    <mergeCell ref="C41:L41"/>
    <mergeCell ref="C42:L42"/>
    <mergeCell ref="M17:N17"/>
    <mergeCell ref="H17:I19"/>
    <mergeCell ref="J17:J20"/>
    <mergeCell ref="K17:K20"/>
    <mergeCell ref="L17:L20"/>
    <mergeCell ref="B36:G36"/>
    <mergeCell ref="B37:G37"/>
    <mergeCell ref="C40:L40"/>
    <mergeCell ref="M18:N18"/>
  </mergeCells>
  <pageMargins left="0.7" right="0.7" top="0.75" bottom="0.75" header="0.3" footer="0.3"/>
  <pageSetup orientation="portrait" r:id="rId1"/>
  <headerFooter>
    <oddHeader>&amp;L&amp;"Arial"&amp;10&amp;KFF8C00[Confidential - Distribution with NDA]&amp;1#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Chuck</dc:creator>
  <cp:lastModifiedBy>Eric Aasen</cp:lastModifiedBy>
  <dcterms:created xsi:type="dcterms:W3CDTF">2021-01-04T15:33:29Z</dcterms:created>
  <dcterms:modified xsi:type="dcterms:W3CDTF">2026-03-25T20:35:15Z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9fe2f-c605-4da1-a326-a2d599ca0ca3_Enabled">
    <vt:lpwstr>true</vt:lpwstr>
  </property>
  <property fmtid="{D5CDD505-2E9C-101B-9397-08002B2CF9AE}" pid="3" name="MSIP_Label_b279fe2f-c605-4da1-a326-a2d599ca0ca3_SetDate">
    <vt:lpwstr>2021-07-07T19:50:58Z</vt:lpwstr>
  </property>
  <property fmtid="{D5CDD505-2E9C-101B-9397-08002B2CF9AE}" pid="4" name="MSIP_Label_b279fe2f-c605-4da1-a326-a2d599ca0ca3_Method">
    <vt:lpwstr>Privileged</vt:lpwstr>
  </property>
  <property fmtid="{D5CDD505-2E9C-101B-9397-08002B2CF9AE}" pid="5" name="MSIP_Label_b279fe2f-c605-4da1-a326-a2d599ca0ca3_Name">
    <vt:lpwstr>Distribution with NDA  AIP 2.0</vt:lpwstr>
  </property>
  <property fmtid="{D5CDD505-2E9C-101B-9397-08002B2CF9AE}" pid="6" name="MSIP_Label_b279fe2f-c605-4da1-a326-a2d599ca0ca3_SiteId">
    <vt:lpwstr>3dd8961f-e488-4e60-8e11-a82d994e183d</vt:lpwstr>
  </property>
  <property fmtid="{D5CDD505-2E9C-101B-9397-08002B2CF9AE}" pid="7" name="MSIP_Label_b279fe2f-c605-4da1-a326-a2d599ca0ca3_ActionId">
    <vt:lpwstr>d1df4c42-c254-4a83-b4c1-436fa7441e38</vt:lpwstr>
  </property>
  <property fmtid="{D5CDD505-2E9C-101B-9397-08002B2CF9AE}" pid="8" name="MSIP_Label_b279fe2f-c605-4da1-a326-a2d599ca0ca3_ContentBits">
    <vt:lpwstr>1</vt:lpwstr>
  </property>
</Properties>
</file>